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 PROJECT FOR GITHUB\Excel-Student-Marks-Analysis\"/>
    </mc:Choice>
  </mc:AlternateContent>
  <xr:revisionPtr revIDLastSave="0" documentId="8_{D3932F77-B2AF-4530-AB4E-367A88B23110}" xr6:coauthVersionLast="47" xr6:coauthVersionMax="47" xr10:uidLastSave="{00000000-0000-0000-0000-000000000000}"/>
  <bookViews>
    <workbookView xWindow="-103" yWindow="-103" windowWidth="16663" windowHeight="8743" xr2:uid="{27B73D5A-19E3-4CA9-AE3A-1345C7218F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I10" i="1"/>
  <c r="H10" i="1"/>
  <c r="G10" i="1"/>
  <c r="F10" i="1"/>
  <c r="J10" i="1" s="1"/>
  <c r="I9" i="1"/>
  <c r="H9" i="1"/>
  <c r="G9" i="1"/>
  <c r="F9" i="1"/>
  <c r="J9" i="1" s="1"/>
  <c r="I8" i="1"/>
  <c r="H8" i="1"/>
  <c r="G8" i="1"/>
  <c r="F8" i="1"/>
  <c r="J8" i="1" s="1"/>
  <c r="I7" i="1"/>
  <c r="H7" i="1"/>
  <c r="G7" i="1"/>
  <c r="F7" i="1"/>
  <c r="J7" i="1" s="1"/>
  <c r="I6" i="1"/>
  <c r="H6" i="1"/>
  <c r="G6" i="1"/>
  <c r="F6" i="1"/>
  <c r="J6" i="1" s="1"/>
  <c r="I5" i="1"/>
  <c r="H5" i="1"/>
  <c r="G5" i="1"/>
  <c r="F5" i="1"/>
  <c r="J5" i="1" s="1"/>
  <c r="I4" i="1"/>
  <c r="H4" i="1"/>
  <c r="G4" i="1"/>
  <c r="F4" i="1"/>
  <c r="J4" i="1" s="1"/>
  <c r="I3" i="1"/>
  <c r="H3" i="1"/>
  <c r="G3" i="1"/>
  <c r="F3" i="1"/>
  <c r="J3" i="1" s="1"/>
  <c r="I2" i="1"/>
  <c r="H2" i="1"/>
  <c r="G2" i="1"/>
  <c r="F2" i="1"/>
  <c r="J2" i="1" s="1"/>
  <c r="L2" i="1" l="1"/>
  <c r="K2" i="1"/>
  <c r="K3" i="1"/>
  <c r="L3" i="1"/>
  <c r="L4" i="1"/>
  <c r="K4" i="1"/>
  <c r="K5" i="1"/>
  <c r="L5" i="1"/>
  <c r="L6" i="1"/>
  <c r="K6" i="1"/>
  <c r="L7" i="1"/>
  <c r="K7" i="1"/>
  <c r="L8" i="1"/>
  <c r="K8" i="1"/>
  <c r="K9" i="1"/>
  <c r="L9" i="1"/>
  <c r="L10" i="1"/>
  <c r="K10" i="1"/>
</calcChain>
</file>

<file path=xl/sharedStrings.xml><?xml version="1.0" encoding="utf-8"?>
<sst xmlns="http://schemas.openxmlformats.org/spreadsheetml/2006/main" count="22" uniqueCount="22">
  <si>
    <t>S. No</t>
  </si>
  <si>
    <t>Name Of Students</t>
  </si>
  <si>
    <t>Maths</t>
  </si>
  <si>
    <t>Physics</t>
  </si>
  <si>
    <t>Chemistry</t>
  </si>
  <si>
    <t>Total</t>
  </si>
  <si>
    <t>Maximum</t>
  </si>
  <si>
    <t>Minimum</t>
  </si>
  <si>
    <t>Average</t>
  </si>
  <si>
    <t>%Age (Out of 100)</t>
  </si>
  <si>
    <t>Result</t>
  </si>
  <si>
    <t>Another way of Result</t>
  </si>
  <si>
    <t>Atul Tyagi</t>
  </si>
  <si>
    <t>Vedansh Tyagi</t>
  </si>
  <si>
    <t>Happy Tyagi</t>
  </si>
  <si>
    <t>Rahul Tyagi</t>
  </si>
  <si>
    <t>Devansh Bhardwaj</t>
  </si>
  <si>
    <t xml:space="preserve">Vivek  </t>
  </si>
  <si>
    <t>Harshit Tyagi</t>
  </si>
  <si>
    <t>Vansh Tyagi</t>
  </si>
  <si>
    <t>Chirag Tyagi</t>
  </si>
  <si>
    <t>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</si>
</sst>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4B4B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6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419A-28CC-4E13-80C9-237C115EEE80}">
  <dimension ref="A1:M11"/>
  <sheetViews>
    <sheetView tabSelected="1" zoomScale="83" workbookViewId="0">
      <selection activeCell="I15" sqref="I15"/>
    </sheetView>
  </sheetViews>
  <sheetFormatPr defaultRowHeight="14.6" x14ac:dyDescent="0.4"/>
  <cols>
    <col min="1" max="1" width="5.15234375" bestFit="1" customWidth="1"/>
    <col min="2" max="2" width="16.07421875" bestFit="1" customWidth="1"/>
    <col min="3" max="3" width="6.15234375" bestFit="1" customWidth="1"/>
    <col min="4" max="4" width="6.765625" bestFit="1" customWidth="1"/>
    <col min="5" max="5" width="9.15234375" bestFit="1" customWidth="1"/>
    <col min="6" max="6" width="5.07421875" bestFit="1" customWidth="1"/>
    <col min="7" max="7" width="9.3046875" bestFit="1" customWidth="1"/>
    <col min="8" max="8" width="8.921875" bestFit="1" customWidth="1"/>
    <col min="9" max="9" width="7.61328125" bestFit="1" customWidth="1"/>
    <col min="10" max="10" width="16" bestFit="1" customWidth="1"/>
    <col min="11" max="11" width="6" bestFit="1" customWidth="1"/>
    <col min="12" max="12" width="19.4609375" bestFit="1" customWidth="1"/>
  </cols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</v>
      </c>
    </row>
    <row r="2" spans="1:13" x14ac:dyDescent="0.4">
      <c r="A2" s="1">
        <v>1</v>
      </c>
      <c r="B2" s="2" t="s">
        <v>12</v>
      </c>
      <c r="C2" s="3">
        <v>97</v>
      </c>
      <c r="D2" s="3">
        <v>84</v>
      </c>
      <c r="E2" s="3">
        <v>78</v>
      </c>
      <c r="F2" s="4">
        <f>SUM(C2:E2)</f>
        <v>259</v>
      </c>
      <c r="G2" s="3">
        <f>MAX(C2:E2)</f>
        <v>97</v>
      </c>
      <c r="H2" s="5">
        <f>MIN(C2:E2)</f>
        <v>78</v>
      </c>
      <c r="I2" s="6">
        <f>AVERAGE(C2:E2)</f>
        <v>86.333333333333329</v>
      </c>
      <c r="J2" s="6">
        <f>F2/300*100</f>
        <v>86.333333333333329</v>
      </c>
      <c r="K2" s="3" t="str">
        <f>IF(J2&gt;33,"Pass","Fail")</f>
        <v>Pass</v>
      </c>
      <c r="L2" s="7" t="str">
        <f>IF(AND(C2&gt;=40,D2&gt;=40,E2&gt;=40,J2&gt;=50),"Pass","Fail")</f>
        <v>Pass</v>
      </c>
      <c r="M2" s="8" t="str">
        <f>IF(MAX(F2:F11),"Topper"," ")</f>
        <v>Topper</v>
      </c>
    </row>
    <row r="3" spans="1:13" x14ac:dyDescent="0.4">
      <c r="A3" s="1">
        <v>2</v>
      </c>
      <c r="B3" s="2" t="s">
        <v>13</v>
      </c>
      <c r="C3" s="3">
        <v>63</v>
      </c>
      <c r="D3" s="3">
        <v>67</v>
      </c>
      <c r="E3" s="3">
        <v>98</v>
      </c>
      <c r="F3" s="4">
        <f t="shared" ref="F3:F10" si="0">SUM(C3:E3)</f>
        <v>228</v>
      </c>
      <c r="G3" s="3">
        <f t="shared" ref="G3:G10" si="1">MAX(C3:E3)</f>
        <v>98</v>
      </c>
      <c r="H3" s="5">
        <f t="shared" ref="H3:H10" si="2">MIN(C3:E3)</f>
        <v>63</v>
      </c>
      <c r="I3" s="6">
        <f t="shared" ref="I3:I10" si="3">AVERAGE(C3:E3)</f>
        <v>76</v>
      </c>
      <c r="J3" s="6">
        <f t="shared" ref="J3:J10" si="4">F3/300*100</f>
        <v>76</v>
      </c>
      <c r="K3" s="3" t="str">
        <f t="shared" ref="K3:K10" si="5">IF(J3&gt;33,"Pass","Fail")</f>
        <v>Pass</v>
      </c>
      <c r="L3" s="7" t="str">
        <f t="shared" ref="L3:L10" si="6">IF(AND(C3&gt;=40,D3&gt;=40,E3&gt;=40,J3&gt;=50),"Pass","Fail")</f>
        <v>Pass</v>
      </c>
      <c r="M3" s="8"/>
    </row>
    <row r="4" spans="1:13" x14ac:dyDescent="0.4">
      <c r="A4" s="1">
        <v>3</v>
      </c>
      <c r="B4" s="2" t="s">
        <v>14</v>
      </c>
      <c r="C4" s="3">
        <v>94</v>
      </c>
      <c r="D4" s="3">
        <v>81</v>
      </c>
      <c r="E4" s="3">
        <v>81</v>
      </c>
      <c r="F4" s="4">
        <f t="shared" si="0"/>
        <v>256</v>
      </c>
      <c r="G4" s="3">
        <f t="shared" si="1"/>
        <v>94</v>
      </c>
      <c r="H4" s="5">
        <f t="shared" si="2"/>
        <v>81</v>
      </c>
      <c r="I4" s="6">
        <f t="shared" si="3"/>
        <v>85.333333333333329</v>
      </c>
      <c r="J4" s="6">
        <f t="shared" si="4"/>
        <v>85.333333333333343</v>
      </c>
      <c r="K4" s="3" t="str">
        <f t="shared" si="5"/>
        <v>Pass</v>
      </c>
      <c r="L4" s="7" t="str">
        <f t="shared" si="6"/>
        <v>Pass</v>
      </c>
      <c r="M4" s="8"/>
    </row>
    <row r="5" spans="1:13" x14ac:dyDescent="0.4">
      <c r="A5" s="1">
        <v>4</v>
      </c>
      <c r="B5" s="2" t="s">
        <v>15</v>
      </c>
      <c r="C5" s="3">
        <v>71</v>
      </c>
      <c r="D5" s="3">
        <v>50</v>
      </c>
      <c r="E5" s="3">
        <v>93</v>
      </c>
      <c r="F5" s="4">
        <f t="shared" si="0"/>
        <v>214</v>
      </c>
      <c r="G5" s="3">
        <f t="shared" si="1"/>
        <v>93</v>
      </c>
      <c r="H5" s="5">
        <f t="shared" si="2"/>
        <v>50</v>
      </c>
      <c r="I5" s="6">
        <f t="shared" si="3"/>
        <v>71.333333333333329</v>
      </c>
      <c r="J5" s="6">
        <f t="shared" si="4"/>
        <v>71.333333333333343</v>
      </c>
      <c r="K5" s="3" t="str">
        <f t="shared" si="5"/>
        <v>Pass</v>
      </c>
      <c r="L5" s="7" t="str">
        <f t="shared" si="6"/>
        <v>Pass</v>
      </c>
      <c r="M5" s="8"/>
    </row>
    <row r="6" spans="1:13" x14ac:dyDescent="0.4">
      <c r="A6" s="1">
        <v>5</v>
      </c>
      <c r="B6" s="2" t="s">
        <v>16</v>
      </c>
      <c r="C6" s="3">
        <v>68</v>
      </c>
      <c r="D6" s="3">
        <v>59</v>
      </c>
      <c r="E6" s="3">
        <v>41</v>
      </c>
      <c r="F6" s="4">
        <f t="shared" si="0"/>
        <v>168</v>
      </c>
      <c r="G6" s="3">
        <f t="shared" si="1"/>
        <v>68</v>
      </c>
      <c r="H6" s="5">
        <f t="shared" si="2"/>
        <v>41</v>
      </c>
      <c r="I6" s="6">
        <f t="shared" si="3"/>
        <v>56</v>
      </c>
      <c r="J6" s="6">
        <f t="shared" si="4"/>
        <v>56.000000000000007</v>
      </c>
      <c r="K6" s="3" t="str">
        <f t="shared" si="5"/>
        <v>Pass</v>
      </c>
      <c r="L6" s="7" t="str">
        <f t="shared" si="6"/>
        <v>Pass</v>
      </c>
      <c r="M6" s="8"/>
    </row>
    <row r="7" spans="1:13" x14ac:dyDescent="0.4">
      <c r="A7" s="1">
        <v>6</v>
      </c>
      <c r="B7" s="2" t="s">
        <v>17</v>
      </c>
      <c r="C7" s="3">
        <v>61</v>
      </c>
      <c r="D7" s="3">
        <v>43</v>
      </c>
      <c r="E7" s="3">
        <v>44</v>
      </c>
      <c r="F7" s="4">
        <f t="shared" si="0"/>
        <v>148</v>
      </c>
      <c r="G7" s="3">
        <f t="shared" si="1"/>
        <v>61</v>
      </c>
      <c r="H7" s="5">
        <f t="shared" si="2"/>
        <v>43</v>
      </c>
      <c r="I7" s="6">
        <f t="shared" si="3"/>
        <v>49.333333333333336</v>
      </c>
      <c r="J7" s="6">
        <f t="shared" si="4"/>
        <v>49.333333333333336</v>
      </c>
      <c r="K7" s="3" t="str">
        <f t="shared" si="5"/>
        <v>Pass</v>
      </c>
      <c r="L7" s="7" t="str">
        <f t="shared" si="6"/>
        <v>Fail</v>
      </c>
      <c r="M7" s="8"/>
    </row>
    <row r="8" spans="1:13" x14ac:dyDescent="0.4">
      <c r="A8" s="1">
        <v>7</v>
      </c>
      <c r="B8" s="2" t="s">
        <v>18</v>
      </c>
      <c r="C8" s="3">
        <v>61</v>
      </c>
      <c r="D8" s="3">
        <v>80</v>
      </c>
      <c r="E8" s="3">
        <v>45</v>
      </c>
      <c r="F8" s="4">
        <f t="shared" si="0"/>
        <v>186</v>
      </c>
      <c r="G8" s="3">
        <f t="shared" si="1"/>
        <v>80</v>
      </c>
      <c r="H8" s="5">
        <f t="shared" si="2"/>
        <v>45</v>
      </c>
      <c r="I8" s="6">
        <f t="shared" si="3"/>
        <v>62</v>
      </c>
      <c r="J8" s="6">
        <f t="shared" si="4"/>
        <v>62</v>
      </c>
      <c r="K8" s="3" t="str">
        <f t="shared" si="5"/>
        <v>Pass</v>
      </c>
      <c r="L8" s="7" t="str">
        <f t="shared" si="6"/>
        <v>Pass</v>
      </c>
      <c r="M8" s="8"/>
    </row>
    <row r="9" spans="1:13" x14ac:dyDescent="0.4">
      <c r="A9" s="1">
        <v>8</v>
      </c>
      <c r="B9" s="2" t="s">
        <v>19</v>
      </c>
      <c r="C9" s="3">
        <v>33</v>
      </c>
      <c r="D9" s="3">
        <v>42</v>
      </c>
      <c r="E9" s="3">
        <v>68</v>
      </c>
      <c r="F9" s="4">
        <f t="shared" si="0"/>
        <v>143</v>
      </c>
      <c r="G9" s="3">
        <f t="shared" si="1"/>
        <v>68</v>
      </c>
      <c r="H9" s="5">
        <f t="shared" si="2"/>
        <v>33</v>
      </c>
      <c r="I9" s="6">
        <f t="shared" si="3"/>
        <v>47.666666666666664</v>
      </c>
      <c r="J9" s="6">
        <f t="shared" si="4"/>
        <v>47.666666666666671</v>
      </c>
      <c r="K9" s="3" t="str">
        <f t="shared" si="5"/>
        <v>Pass</v>
      </c>
      <c r="L9" s="7" t="str">
        <f t="shared" si="6"/>
        <v>Fail</v>
      </c>
      <c r="M9" s="8"/>
    </row>
    <row r="10" spans="1:13" x14ac:dyDescent="0.4">
      <c r="A10" s="1">
        <v>9</v>
      </c>
      <c r="B10" s="2" t="s">
        <v>20</v>
      </c>
      <c r="C10" s="3">
        <v>95</v>
      </c>
      <c r="D10" s="3">
        <v>49</v>
      </c>
      <c r="E10" s="3">
        <v>79</v>
      </c>
      <c r="F10" s="4">
        <f t="shared" si="0"/>
        <v>223</v>
      </c>
      <c r="G10" s="3">
        <f t="shared" si="1"/>
        <v>95</v>
      </c>
      <c r="H10" s="5">
        <f t="shared" si="2"/>
        <v>49</v>
      </c>
      <c r="I10" s="6">
        <f t="shared" si="3"/>
        <v>74.333333333333329</v>
      </c>
      <c r="J10" s="6">
        <f t="shared" si="4"/>
        <v>74.333333333333329</v>
      </c>
      <c r="K10" s="3" t="str">
        <f t="shared" si="5"/>
        <v>Pass</v>
      </c>
      <c r="L10" s="7" t="str">
        <f t="shared" si="6"/>
        <v>Pass</v>
      </c>
      <c r="M10" s="8"/>
    </row>
    <row r="11" spans="1:13" x14ac:dyDescent="0.4">
      <c r="A11" s="1">
        <v>10</v>
      </c>
      <c r="B11" s="2"/>
      <c r="C11" s="9"/>
      <c r="D11" s="9"/>
      <c r="E11" s="9"/>
      <c r="F11" s="9"/>
      <c r="G11" s="9"/>
      <c r="H11" s="9"/>
      <c r="I11" s="9"/>
      <c r="J11" s="9"/>
      <c r="K11" s="3"/>
      <c r="L11" s="3"/>
      <c r="M1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TYAGI</dc:creator>
  <cp:lastModifiedBy>ATUL TYAGI</cp:lastModifiedBy>
  <dcterms:created xsi:type="dcterms:W3CDTF">2026-05-27T08:13:22Z</dcterms:created>
  <dcterms:modified xsi:type="dcterms:W3CDTF">2026-05-27T08:20:03Z</dcterms:modified>
</cp:coreProperties>
</file>